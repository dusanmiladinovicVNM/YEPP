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r" sheetId="1" state="visible" r:id="rId1"/>
    <sheet name="Daten" sheetId="2" state="visible" r:id="rId2"/>
    <sheet name="Nummern" sheetId="3" state="visible" r:id="rId3"/>
    <sheet name="Liste" sheetId="4" state="visible" r:id="rId4"/>
  </sheets>
  <definedNames>
    <definedName name="_xlnm.Print_Area" localSheetId="0">'Formular'!$A$1:$H$30</definedName>
    <definedName name="_xlnm._FilterDatabase" localSheetId="3" hidden="1">'Liste'!$A$1:$W$1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  <font>
      <name val="Arial"/>
      <sz val="10"/>
    </font>
    <font>
      <name val="Arial"/>
      <sz val="8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FF9E3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bottom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1" customWidth="1" min="4" max="4"/>
    <col width="17" customWidth="1" min="5" max="5"/>
    <col width="20" customWidth="1" min="6" max="6"/>
    <col width="22" customWidth="1" min="7" max="7"/>
    <col width="13" customWidth="1" min="8" max="8"/>
    <col width="3" customWidth="1" min="9" max="9"/>
    <col width="24" customWidth="1" min="10" max="10"/>
  </cols>
  <sheetData>
    <row r="1">
      <c r="A1" s="1" t="inlineStr">
        <is>
          <t>Wareneingang / Material reception</t>
        </is>
      </c>
      <c r="F1" s="2">
        <f>IF($J$2="","",$J$2)</f>
        <v/>
      </c>
      <c r="J1" s="3" t="inlineStr">
        <is>
          <t>Wareneingang wählen</t>
        </is>
      </c>
    </row>
    <row r="2">
      <c r="J2" s="4" t="inlineStr"/>
    </row>
    <row r="3" ht="26" customHeight="1">
      <c r="A3" s="5" t="inlineStr">
        <is>
          <t>Aufgabe / Task</t>
        </is>
      </c>
      <c r="B3" s="6" t="n"/>
      <c r="C3" s="5" t="inlineStr">
        <is>
          <t>Name Mitarbeiter / Employee name</t>
        </is>
      </c>
      <c r="D3" s="6" t="n"/>
      <c r="E3" s="5" t="inlineStr">
        <is>
          <t>Datum / Date</t>
        </is>
      </c>
      <c r="F3" s="5" t="inlineStr">
        <is>
          <t>Uhrzeit / Time</t>
        </is>
      </c>
    </row>
    <row r="4" ht="26" customHeight="1">
      <c r="A4" s="7" t="inlineStr">
        <is>
          <t>Angenommen / Accepted</t>
        </is>
      </c>
      <c r="B4" s="6" t="n"/>
      <c r="C4" s="8">
        <f>IFERROR(INDEX(Daten!$F$2:$F$20001,MATCH($J$2,Daten!$A$2:$A$20001,0)),"")</f>
        <v/>
      </c>
      <c r="D4" s="6" t="n"/>
      <c r="E4" s="8">
        <f>IFERROR(INDEX(Daten!$G$2:$G$20001,MATCH($J$2,Daten!$A$2:$A$20001,0)),"")</f>
        <v/>
      </c>
      <c r="F4" s="8">
        <f>IFERROR(INDEX(Daten!$H$2:$H$20001,MATCH($J$2,Daten!$A$2:$A$20001,0)),"")</f>
        <v/>
      </c>
      <c r="J4" s="9" t="inlineStr">
        <is>
          <t>Nur diese Zelle wird von Hand geändert. Alles andere füllt sich selbst.</t>
        </is>
      </c>
    </row>
    <row r="5" ht="26" customHeight="1">
      <c r="A5" s="7" t="inlineStr">
        <is>
          <t>Gezählt &amp; kontrolliert / counted &amp; controlled</t>
        </is>
      </c>
      <c r="B5" s="6" t="n"/>
      <c r="C5" s="8">
        <f>IFERROR(INDEX(Daten!$I$2:$I$20001,MATCH($J$2,Daten!$A$2:$A$20001,0)),"")</f>
        <v/>
      </c>
      <c r="D5" s="6" t="n"/>
      <c r="E5" s="8">
        <f>IFERROR(INDEX(Daten!$J$2:$J$20001,MATCH($J$2,Daten!$A$2:$A$20001,0)),"")</f>
        <v/>
      </c>
      <c r="F5" s="8">
        <f>IFERROR(INDEX(Daten!$K$2:$K$20001,MATCH($J$2,Daten!$A$2:$A$20001,0)),"")</f>
        <v/>
      </c>
    </row>
    <row r="6" ht="26" customHeight="1">
      <c r="A6" s="7" t="inlineStr">
        <is>
          <t>Eingelagert / stored</t>
        </is>
      </c>
      <c r="B6" s="6" t="n"/>
      <c r="C6" s="8">
        <f>IFERROR(INDEX(Daten!$L$2:$L$20001,MATCH($J$2,Daten!$A$2:$A$20001,0)),"")</f>
        <v/>
      </c>
      <c r="D6" s="6" t="n"/>
      <c r="E6" s="8">
        <f>IFERROR(INDEX(Daten!$M$2:$M$20001,MATCH($J$2,Daten!$A$2:$A$20001,0)),"")</f>
        <v/>
      </c>
      <c r="F6" s="8">
        <f>IFERROR(INDEX(Daten!$N$2:$N$20001,MATCH($J$2,Daten!$A$2:$A$20001,0)),"")</f>
        <v/>
      </c>
    </row>
    <row r="7"/>
    <row r="8" ht="28" customHeight="1">
      <c r="A8" s="10" t="inlineStr">
        <is>
          <t>Artikelanzahl bitte direkt auf dem Lieferschein abhaken bzw. anpassen.
Please check off or adapt the article quantities directly on the delivery slip</t>
        </is>
      </c>
    </row>
    <row r="9">
      <c r="J9" s="11" t="inlineStr">
        <is>
          <t>Positionen im Dokument</t>
        </is>
      </c>
    </row>
    <row r="10">
      <c r="A10" s="12" t="inlineStr">
        <is>
          <t>Kunde / Client</t>
        </is>
      </c>
      <c r="B10" s="6" t="n"/>
      <c r="C10" s="8">
        <f>IFERROR(INDEX(Daten!$B$2:$B$20001,MATCH($J$2,Daten!$A$2:$A$20001,0)),"")</f>
        <v/>
      </c>
      <c r="D10" s="6" t="n"/>
      <c r="E10" s="6" t="n"/>
      <c r="F10" s="6" t="n"/>
      <c r="J10" s="3">
        <f>COUNTIF(Daten!$A$2:$A$20001,$J$2)</f>
        <v/>
      </c>
    </row>
    <row r="11">
      <c r="A11" s="12" t="inlineStr">
        <is>
          <t>Lieferant / Supplier</t>
        </is>
      </c>
      <c r="B11" s="6" t="n"/>
      <c r="C11" s="8">
        <f>IFERROR(INDEX(Daten!$C$2:$C$20001,MATCH($J$2,Daten!$A$2:$A$20001,0)),"")</f>
        <v/>
      </c>
      <c r="D11" s="6" t="n"/>
      <c r="E11" s="6" t="n"/>
      <c r="F11" s="6" t="n"/>
    </row>
    <row r="13" ht="28" customHeight="1">
      <c r="A13" s="10" t="inlineStr">
        <is>
          <t>Bei neuem und bestehendem Material mit oder ohne Lieferschein notwendig:
For new and existing material with or without delivery slip needed</t>
        </is>
      </c>
    </row>
    <row r="15" ht="58" customHeight="1">
      <c r="A15" s="13" t="inlineStr">
        <is>
          <t>N°</t>
        </is>
      </c>
      <c r="B15" s="13" t="inlineStr">
        <is>
          <t>Artikelbezeichnung / Article description</t>
        </is>
      </c>
      <c r="C15" s="13" t="inlineStr">
        <is>
          <t>Anzahl / QTY</t>
        </is>
      </c>
      <c r="D15" s="13" t="inlineStr">
        <is>
          <t>kg</t>
        </is>
      </c>
      <c r="E15" s="13" t="inlineStr">
        <is>
          <t>MHD / Expiration Date</t>
        </is>
      </c>
      <c r="F15" s="13" t="inlineStr">
        <is>
          <t>Regalplatznr., eralten durch Secend Team/shelf no. received by Secend Team</t>
        </is>
      </c>
      <c r="G15" s="13" t="inlineStr">
        <is>
          <t>Bemerkungen /Kontrolle
Comments / Checks</t>
        </is>
      </c>
      <c r="H15" s="13" t="inlineStr">
        <is>
          <t>Bestehend / Existing</t>
        </is>
      </c>
    </row>
    <row r="16" ht="30" customHeight="1">
      <c r="A16" s="14" t="n">
        <v>1</v>
      </c>
      <c r="B16" s="15">
        <f>IFERROR(INDEX(Daten!$P$2:$P$20001,MATCH($J$2&amp;"-"&amp;$A16,Daten!$W$2:$W$20001,0)),"")</f>
        <v/>
      </c>
      <c r="C16" s="16">
        <f>IFERROR(INDEX(Daten!$Q$2:$Q$20001,MATCH($J$2&amp;"-"&amp;$A16,Daten!$W$2:$W$20001,0)),"")</f>
        <v/>
      </c>
      <c r="D16" s="16">
        <f>IFERROR(INDEX(Daten!$R$2:$R$20001,MATCH($J$2&amp;"-"&amp;$A16,Daten!$W$2:$W$20001,0)),"")</f>
        <v/>
      </c>
      <c r="E16" s="8">
        <f>IFERROR(INDEX(Daten!$S$2:$S$20001,MATCH($J$2&amp;"-"&amp;$A16,Daten!$W$2:$W$20001,0)),"")</f>
        <v/>
      </c>
      <c r="F16" s="8">
        <f>IFERROR(INDEX(Daten!$T$2:$T$20001,MATCH($J$2&amp;"-"&amp;$A16,Daten!$W$2:$W$20001,0)),"")</f>
        <v/>
      </c>
      <c r="G16" s="15">
        <f>IFERROR(INDEX(Daten!$U$2:$U$20001,MATCH($J$2&amp;"-"&amp;$A16,Daten!$W$2:$W$20001,0)),"")</f>
        <v/>
      </c>
      <c r="H16" s="17">
        <f>IFERROR(INDEX(Daten!$V$2:$V$20001,MATCH($J$2&amp;"-"&amp;$A16,Daten!$W$2:$W$20001,0)),"")</f>
        <v/>
      </c>
    </row>
    <row r="17" ht="30" customHeight="1">
      <c r="A17" s="14" t="n">
        <v>2</v>
      </c>
      <c r="B17" s="15">
        <f>IFERROR(INDEX(Daten!$P$2:$P$20001,MATCH($J$2&amp;"-"&amp;$A17,Daten!$W$2:$W$20001,0)),"")</f>
        <v/>
      </c>
      <c r="C17" s="16">
        <f>IFERROR(INDEX(Daten!$Q$2:$Q$20001,MATCH($J$2&amp;"-"&amp;$A17,Daten!$W$2:$W$20001,0)),"")</f>
        <v/>
      </c>
      <c r="D17" s="16">
        <f>IFERROR(INDEX(Daten!$R$2:$R$20001,MATCH($J$2&amp;"-"&amp;$A17,Daten!$W$2:$W$20001,0)),"")</f>
        <v/>
      </c>
      <c r="E17" s="8">
        <f>IFERROR(INDEX(Daten!$S$2:$S$20001,MATCH($J$2&amp;"-"&amp;$A17,Daten!$W$2:$W$20001,0)),"")</f>
        <v/>
      </c>
      <c r="F17" s="8">
        <f>IFERROR(INDEX(Daten!$T$2:$T$20001,MATCH($J$2&amp;"-"&amp;$A17,Daten!$W$2:$W$20001,0)),"")</f>
        <v/>
      </c>
      <c r="G17" s="15">
        <f>IFERROR(INDEX(Daten!$U$2:$U$20001,MATCH($J$2&amp;"-"&amp;$A17,Daten!$W$2:$W$20001,0)),"")</f>
        <v/>
      </c>
      <c r="H17" s="17">
        <f>IFERROR(INDEX(Daten!$V$2:$V$20001,MATCH($J$2&amp;"-"&amp;$A17,Daten!$W$2:$W$20001,0)),"")</f>
        <v/>
      </c>
    </row>
    <row r="18" ht="30" customHeight="1">
      <c r="A18" s="14" t="n">
        <v>3</v>
      </c>
      <c r="B18" s="15">
        <f>IFERROR(INDEX(Daten!$P$2:$P$20001,MATCH($J$2&amp;"-"&amp;$A18,Daten!$W$2:$W$20001,0)),"")</f>
        <v/>
      </c>
      <c r="C18" s="16">
        <f>IFERROR(INDEX(Daten!$Q$2:$Q$20001,MATCH($J$2&amp;"-"&amp;$A18,Daten!$W$2:$W$20001,0)),"")</f>
        <v/>
      </c>
      <c r="D18" s="16">
        <f>IFERROR(INDEX(Daten!$R$2:$R$20001,MATCH($J$2&amp;"-"&amp;$A18,Daten!$W$2:$W$20001,0)),"")</f>
        <v/>
      </c>
      <c r="E18" s="8">
        <f>IFERROR(INDEX(Daten!$S$2:$S$20001,MATCH($J$2&amp;"-"&amp;$A18,Daten!$W$2:$W$20001,0)),"")</f>
        <v/>
      </c>
      <c r="F18" s="8">
        <f>IFERROR(INDEX(Daten!$T$2:$T$20001,MATCH($J$2&amp;"-"&amp;$A18,Daten!$W$2:$W$20001,0)),"")</f>
        <v/>
      </c>
      <c r="G18" s="15">
        <f>IFERROR(INDEX(Daten!$U$2:$U$20001,MATCH($J$2&amp;"-"&amp;$A18,Daten!$W$2:$W$20001,0)),"")</f>
        <v/>
      </c>
      <c r="H18" s="17">
        <f>IFERROR(INDEX(Daten!$V$2:$V$20001,MATCH($J$2&amp;"-"&amp;$A18,Daten!$W$2:$W$20001,0)),"")</f>
        <v/>
      </c>
    </row>
    <row r="19" ht="30" customHeight="1">
      <c r="A19" s="14" t="n">
        <v>4</v>
      </c>
      <c r="B19" s="15">
        <f>IFERROR(INDEX(Daten!$P$2:$P$20001,MATCH($J$2&amp;"-"&amp;$A19,Daten!$W$2:$W$20001,0)),"")</f>
        <v/>
      </c>
      <c r="C19" s="16">
        <f>IFERROR(INDEX(Daten!$Q$2:$Q$20001,MATCH($J$2&amp;"-"&amp;$A19,Daten!$W$2:$W$20001,0)),"")</f>
        <v/>
      </c>
      <c r="D19" s="16">
        <f>IFERROR(INDEX(Daten!$R$2:$R$20001,MATCH($J$2&amp;"-"&amp;$A19,Daten!$W$2:$W$20001,0)),"")</f>
        <v/>
      </c>
      <c r="E19" s="8">
        <f>IFERROR(INDEX(Daten!$S$2:$S$20001,MATCH($J$2&amp;"-"&amp;$A19,Daten!$W$2:$W$20001,0)),"")</f>
        <v/>
      </c>
      <c r="F19" s="8">
        <f>IFERROR(INDEX(Daten!$T$2:$T$20001,MATCH($J$2&amp;"-"&amp;$A19,Daten!$W$2:$W$20001,0)),"")</f>
        <v/>
      </c>
      <c r="G19" s="15">
        <f>IFERROR(INDEX(Daten!$U$2:$U$20001,MATCH($J$2&amp;"-"&amp;$A19,Daten!$W$2:$W$20001,0)),"")</f>
        <v/>
      </c>
      <c r="H19" s="17">
        <f>IFERROR(INDEX(Daten!$V$2:$V$20001,MATCH($J$2&amp;"-"&amp;$A19,Daten!$W$2:$W$20001,0)),"")</f>
        <v/>
      </c>
    </row>
    <row r="20" ht="30" customHeight="1">
      <c r="A20" s="14" t="n">
        <v>5</v>
      </c>
      <c r="B20" s="15">
        <f>IFERROR(INDEX(Daten!$P$2:$P$20001,MATCH($J$2&amp;"-"&amp;$A20,Daten!$W$2:$W$20001,0)),"")</f>
        <v/>
      </c>
      <c r="C20" s="16">
        <f>IFERROR(INDEX(Daten!$Q$2:$Q$20001,MATCH($J$2&amp;"-"&amp;$A20,Daten!$W$2:$W$20001,0)),"")</f>
        <v/>
      </c>
      <c r="D20" s="16">
        <f>IFERROR(INDEX(Daten!$R$2:$R$20001,MATCH($J$2&amp;"-"&amp;$A20,Daten!$W$2:$W$20001,0)),"")</f>
        <v/>
      </c>
      <c r="E20" s="8">
        <f>IFERROR(INDEX(Daten!$S$2:$S$20001,MATCH($J$2&amp;"-"&amp;$A20,Daten!$W$2:$W$20001,0)),"")</f>
        <v/>
      </c>
      <c r="F20" s="8">
        <f>IFERROR(INDEX(Daten!$T$2:$T$20001,MATCH($J$2&amp;"-"&amp;$A20,Daten!$W$2:$W$20001,0)),"")</f>
        <v/>
      </c>
      <c r="G20" s="15">
        <f>IFERROR(INDEX(Daten!$U$2:$U$20001,MATCH($J$2&amp;"-"&amp;$A20,Daten!$W$2:$W$20001,0)),"")</f>
        <v/>
      </c>
      <c r="H20" s="17">
        <f>IFERROR(INDEX(Daten!$V$2:$V$20001,MATCH($J$2&amp;"-"&amp;$A20,Daten!$W$2:$W$20001,0)),"")</f>
        <v/>
      </c>
    </row>
    <row r="21" ht="30" customHeight="1">
      <c r="A21" s="14" t="n">
        <v>6</v>
      </c>
      <c r="B21" s="15">
        <f>IFERROR(INDEX(Daten!$P$2:$P$20001,MATCH($J$2&amp;"-"&amp;$A21,Daten!$W$2:$W$20001,0)),"")</f>
        <v/>
      </c>
      <c r="C21" s="16">
        <f>IFERROR(INDEX(Daten!$Q$2:$Q$20001,MATCH($J$2&amp;"-"&amp;$A21,Daten!$W$2:$W$20001,0)),"")</f>
        <v/>
      </c>
      <c r="D21" s="16">
        <f>IFERROR(INDEX(Daten!$R$2:$R$20001,MATCH($J$2&amp;"-"&amp;$A21,Daten!$W$2:$W$20001,0)),"")</f>
        <v/>
      </c>
      <c r="E21" s="8">
        <f>IFERROR(INDEX(Daten!$S$2:$S$20001,MATCH($J$2&amp;"-"&amp;$A21,Daten!$W$2:$W$20001,0)),"")</f>
        <v/>
      </c>
      <c r="F21" s="8">
        <f>IFERROR(INDEX(Daten!$T$2:$T$20001,MATCH($J$2&amp;"-"&amp;$A21,Daten!$W$2:$W$20001,0)),"")</f>
        <v/>
      </c>
      <c r="G21" s="15">
        <f>IFERROR(INDEX(Daten!$U$2:$U$20001,MATCH($J$2&amp;"-"&amp;$A21,Daten!$W$2:$W$20001,0)),"")</f>
        <v/>
      </c>
      <c r="H21" s="17">
        <f>IFERROR(INDEX(Daten!$V$2:$V$20001,MATCH($J$2&amp;"-"&amp;$A21,Daten!$W$2:$W$20001,0)),"")</f>
        <v/>
      </c>
    </row>
    <row r="22" ht="30" customHeight="1">
      <c r="A22" s="14" t="n">
        <v>7</v>
      </c>
      <c r="B22" s="15">
        <f>IFERROR(INDEX(Daten!$P$2:$P$20001,MATCH($J$2&amp;"-"&amp;$A22,Daten!$W$2:$W$20001,0)),"")</f>
        <v/>
      </c>
      <c r="C22" s="16">
        <f>IFERROR(INDEX(Daten!$Q$2:$Q$20001,MATCH($J$2&amp;"-"&amp;$A22,Daten!$W$2:$W$20001,0)),"")</f>
        <v/>
      </c>
      <c r="D22" s="16">
        <f>IFERROR(INDEX(Daten!$R$2:$R$20001,MATCH($J$2&amp;"-"&amp;$A22,Daten!$W$2:$W$20001,0)),"")</f>
        <v/>
      </c>
      <c r="E22" s="8">
        <f>IFERROR(INDEX(Daten!$S$2:$S$20001,MATCH($J$2&amp;"-"&amp;$A22,Daten!$W$2:$W$20001,0)),"")</f>
        <v/>
      </c>
      <c r="F22" s="8">
        <f>IFERROR(INDEX(Daten!$T$2:$T$20001,MATCH($J$2&amp;"-"&amp;$A22,Daten!$W$2:$W$20001,0)),"")</f>
        <v/>
      </c>
      <c r="G22" s="15">
        <f>IFERROR(INDEX(Daten!$U$2:$U$20001,MATCH($J$2&amp;"-"&amp;$A22,Daten!$W$2:$W$20001,0)),"")</f>
        <v/>
      </c>
      <c r="H22" s="17">
        <f>IFERROR(INDEX(Daten!$V$2:$V$20001,MATCH($J$2&amp;"-"&amp;$A22,Daten!$W$2:$W$20001,0)),"")</f>
        <v/>
      </c>
    </row>
    <row r="23" ht="30" customHeight="1">
      <c r="A23" s="14" t="n">
        <v>8</v>
      </c>
      <c r="B23" s="15">
        <f>IFERROR(INDEX(Daten!$P$2:$P$20001,MATCH($J$2&amp;"-"&amp;$A23,Daten!$W$2:$W$20001,0)),"")</f>
        <v/>
      </c>
      <c r="C23" s="16">
        <f>IFERROR(INDEX(Daten!$Q$2:$Q$20001,MATCH($J$2&amp;"-"&amp;$A23,Daten!$W$2:$W$20001,0)),"")</f>
        <v/>
      </c>
      <c r="D23" s="16">
        <f>IFERROR(INDEX(Daten!$R$2:$R$20001,MATCH($J$2&amp;"-"&amp;$A23,Daten!$W$2:$W$20001,0)),"")</f>
        <v/>
      </c>
      <c r="E23" s="8">
        <f>IFERROR(INDEX(Daten!$S$2:$S$20001,MATCH($J$2&amp;"-"&amp;$A23,Daten!$W$2:$W$20001,0)),"")</f>
        <v/>
      </c>
      <c r="F23" s="8">
        <f>IFERROR(INDEX(Daten!$T$2:$T$20001,MATCH($J$2&amp;"-"&amp;$A23,Daten!$W$2:$W$20001,0)),"")</f>
        <v/>
      </c>
      <c r="G23" s="15">
        <f>IFERROR(INDEX(Daten!$U$2:$U$20001,MATCH($J$2&amp;"-"&amp;$A23,Daten!$W$2:$W$20001,0)),"")</f>
        <v/>
      </c>
      <c r="H23" s="17">
        <f>IFERROR(INDEX(Daten!$V$2:$V$20001,MATCH($J$2&amp;"-"&amp;$A23,Daten!$W$2:$W$20001,0)),"")</f>
        <v/>
      </c>
    </row>
    <row r="24" ht="30" customHeight="1">
      <c r="A24" s="14" t="n">
        <v>9</v>
      </c>
      <c r="B24" s="15">
        <f>IFERROR(INDEX(Daten!$P$2:$P$20001,MATCH($J$2&amp;"-"&amp;$A24,Daten!$W$2:$W$20001,0)),"")</f>
        <v/>
      </c>
      <c r="C24" s="16">
        <f>IFERROR(INDEX(Daten!$Q$2:$Q$20001,MATCH($J$2&amp;"-"&amp;$A24,Daten!$W$2:$W$20001,0)),"")</f>
        <v/>
      </c>
      <c r="D24" s="16">
        <f>IFERROR(INDEX(Daten!$R$2:$R$20001,MATCH($J$2&amp;"-"&amp;$A24,Daten!$W$2:$W$20001,0)),"")</f>
        <v/>
      </c>
      <c r="E24" s="8">
        <f>IFERROR(INDEX(Daten!$S$2:$S$20001,MATCH($J$2&amp;"-"&amp;$A24,Daten!$W$2:$W$20001,0)),"")</f>
        <v/>
      </c>
      <c r="F24" s="8">
        <f>IFERROR(INDEX(Daten!$T$2:$T$20001,MATCH($J$2&amp;"-"&amp;$A24,Daten!$W$2:$W$20001,0)),"")</f>
        <v/>
      </c>
      <c r="G24" s="15">
        <f>IFERROR(INDEX(Daten!$U$2:$U$20001,MATCH($J$2&amp;"-"&amp;$A24,Daten!$W$2:$W$20001,0)),"")</f>
        <v/>
      </c>
      <c r="H24" s="17">
        <f>IFERROR(INDEX(Daten!$V$2:$V$20001,MATCH($J$2&amp;"-"&amp;$A24,Daten!$W$2:$W$20001,0)),"")</f>
        <v/>
      </c>
    </row>
    <row r="25" ht="30" customHeight="1">
      <c r="A25" s="14" t="n">
        <v>10</v>
      </c>
      <c r="B25" s="15">
        <f>IFERROR(INDEX(Daten!$P$2:$P$20001,MATCH($J$2&amp;"-"&amp;$A25,Daten!$W$2:$W$20001,0)),"")</f>
        <v/>
      </c>
      <c r="C25" s="16">
        <f>IFERROR(INDEX(Daten!$Q$2:$Q$20001,MATCH($J$2&amp;"-"&amp;$A25,Daten!$W$2:$W$20001,0)),"")</f>
        <v/>
      </c>
      <c r="D25" s="16">
        <f>IFERROR(INDEX(Daten!$R$2:$R$20001,MATCH($J$2&amp;"-"&amp;$A25,Daten!$W$2:$W$20001,0)),"")</f>
        <v/>
      </c>
      <c r="E25" s="8">
        <f>IFERROR(INDEX(Daten!$S$2:$S$20001,MATCH($J$2&amp;"-"&amp;$A25,Daten!$W$2:$W$20001,0)),"")</f>
        <v/>
      </c>
      <c r="F25" s="8">
        <f>IFERROR(INDEX(Daten!$T$2:$T$20001,MATCH($J$2&amp;"-"&amp;$A25,Daten!$W$2:$W$20001,0)),"")</f>
        <v/>
      </c>
      <c r="G25" s="15">
        <f>IFERROR(INDEX(Daten!$U$2:$U$20001,MATCH($J$2&amp;"-"&amp;$A25,Daten!$W$2:$W$20001,0)),"")</f>
        <v/>
      </c>
      <c r="H25" s="17">
        <f>IFERROR(INDEX(Daten!$V$2:$V$20001,MATCH($J$2&amp;"-"&amp;$A25,Daten!$W$2:$W$20001,0)),"")</f>
        <v/>
      </c>
    </row>
    <row r="26">
      <c r="A26" s="18">
        <f>IF($J$2="","",IF($J$10=0,"Zu dieser Nummer stehen keine Zeilen im Blatt Daten — aktualisieren, oder der Suchbereich reicht nicht.",IF($J$10&gt;10,"Achtung: dieser Wareneingang hat "&amp;$J$10&amp;" Positionen. Hier stehen nur die ersten 10.","")))</f>
        <v/>
      </c>
    </row>
    <row r="27">
      <c r="A27" s="12" t="inlineStr">
        <is>
          <t>Lagerfläche / storage space</t>
        </is>
      </c>
      <c r="B27" s="6" t="n"/>
      <c r="C27" s="8" t="inlineStr"/>
      <c r="D27" s="12" t="inlineStr">
        <is>
          <t>Umrechung/Conversion</t>
        </is>
      </c>
    </row>
    <row r="28">
      <c r="A28" s="12" t="inlineStr">
        <is>
          <t>m2 Anzahl / m2 quantity</t>
        </is>
      </c>
      <c r="B28" s="6" t="n"/>
      <c r="C28" s="16">
        <f>IFERROR(INDEX(Daten!$D$2:$D$20001,MATCH($J$2,Daten!$A$2:$A$20001,0)),"")</f>
        <v/>
      </c>
      <c r="D28" s="12" t="inlineStr">
        <is>
          <t>1 g = 0.001 kg</t>
        </is>
      </c>
    </row>
    <row r="30">
      <c r="A30" s="3" t="inlineStr">
        <is>
          <t>Bemerkung</t>
        </is>
      </c>
      <c r="B30" s="19">
        <f>IFERROR(INDEX(Daten!$E$2:$E$20001,MATCH($J$2,Daten!$A$2:$A$20001,0)),"")</f>
        <v/>
      </c>
    </row>
  </sheetData>
  <mergeCells count="20">
    <mergeCell ref="C6:D6"/>
    <mergeCell ref="A11:B11"/>
    <mergeCell ref="C5:D5"/>
    <mergeCell ref="B30:H30"/>
    <mergeCell ref="A6:B6"/>
    <mergeCell ref="C4:D4"/>
    <mergeCell ref="A27:B27"/>
    <mergeCell ref="A3:B3"/>
    <mergeCell ref="A26:H26"/>
    <mergeCell ref="J4:J7"/>
    <mergeCell ref="F1:H1"/>
    <mergeCell ref="A5:B5"/>
    <mergeCell ref="C10:F10"/>
    <mergeCell ref="A8:H8"/>
    <mergeCell ref="A4:B4"/>
    <mergeCell ref="A10:B10"/>
    <mergeCell ref="A28:B28"/>
    <mergeCell ref="A13:H13"/>
    <mergeCell ref="C11:F11"/>
    <mergeCell ref="C3:D3"/>
  </mergeCells>
  <dataValidations count="1">
    <dataValidation sqref="J2" showDropDown="0" showInputMessage="0" showErrorMessage="0" allowBlank="1" error="Diese Nummer steht nicht in der Liste." prompt="Wareneingang aus der Liste wählen" type="list">
      <formula1>Nummern!$A$2:$A$1000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3" customWidth="1" min="20" max="20"/>
    <col width="12" customWidth="1" min="21" max="21"/>
    <col width="12" customWidth="1" min="22" max="22"/>
    <col width="13" customWidth="1" min="23" max="23"/>
  </cols>
  <sheetData>
    <row r="1">
      <c r="A1" s="20" t="inlineStr">
        <is>
          <t>WeNr</t>
        </is>
      </c>
      <c r="B1" s="20" t="inlineStr">
        <is>
          <t>Kunde</t>
        </is>
      </c>
      <c r="C1" s="20" t="inlineStr">
        <is>
          <t>Lieferant</t>
        </is>
      </c>
      <c r="D1" s="20" t="inlineStr">
        <is>
          <t>LagerM2</t>
        </is>
      </c>
      <c r="E1" s="20" t="inlineStr">
        <is>
          <t>KopfBemerkung</t>
        </is>
      </c>
      <c r="F1" s="20" t="inlineStr">
        <is>
          <t>AngNam</t>
        </is>
      </c>
      <c r="G1" s="20" t="inlineStr">
        <is>
          <t>AngDat</t>
        </is>
      </c>
      <c r="H1" s="20" t="inlineStr">
        <is>
          <t>AngZeit</t>
        </is>
      </c>
      <c r="I1" s="20" t="inlineStr">
        <is>
          <t>GezNam</t>
        </is>
      </c>
      <c r="J1" s="20" t="inlineStr">
        <is>
          <t>GezDat</t>
        </is>
      </c>
      <c r="K1" s="20" t="inlineStr">
        <is>
          <t>GezZeit</t>
        </is>
      </c>
      <c r="L1" s="20" t="inlineStr">
        <is>
          <t>EinNam</t>
        </is>
      </c>
      <c r="M1" s="20" t="inlineStr">
        <is>
          <t>EinDat</t>
        </is>
      </c>
      <c r="N1" s="20" t="inlineStr">
        <is>
          <t>EinZeit</t>
        </is>
      </c>
      <c r="O1" s="20" t="inlineStr">
        <is>
          <t>Nr</t>
        </is>
      </c>
      <c r="P1" s="20" t="inlineStr">
        <is>
          <t>Artikel</t>
        </is>
      </c>
      <c r="Q1" s="20" t="inlineStr">
        <is>
          <t>Anzahl</t>
        </is>
      </c>
      <c r="R1" s="20" t="inlineStr">
        <is>
          <t>KG</t>
        </is>
      </c>
      <c r="S1" s="20" t="inlineStr">
        <is>
          <t>MHD</t>
        </is>
      </c>
      <c r="T1" s="20" t="inlineStr">
        <is>
          <t>Regalplatz</t>
        </is>
      </c>
      <c r="U1" s="20" t="inlineStr">
        <is>
          <t>Bemerkung</t>
        </is>
      </c>
      <c r="V1" s="20" t="inlineStr">
        <is>
          <t>Bestehend</t>
        </is>
      </c>
      <c r="W1" s="20" t="inlineStr">
        <is>
          <t>Schluessel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0" t="inlineStr">
        <is>
          <t>WeNr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3" customWidth="1" min="20" max="20"/>
    <col width="12" customWidth="1" min="21" max="21"/>
    <col width="12" customWidth="1" min="22" max="22"/>
    <col width="13" customWidth="1" min="23" max="23"/>
  </cols>
  <sheetData>
    <row r="1">
      <c r="A1" s="20" t="inlineStr">
        <is>
          <t>WeNr</t>
        </is>
      </c>
      <c r="B1" s="20" t="inlineStr">
        <is>
          <t>Kunde</t>
        </is>
      </c>
      <c r="C1" s="20" t="inlineStr">
        <is>
          <t>Lieferant</t>
        </is>
      </c>
      <c r="D1" s="20" t="inlineStr">
        <is>
          <t>LagerM2</t>
        </is>
      </c>
      <c r="E1" s="20" t="inlineStr">
        <is>
          <t>KopfBemerkung</t>
        </is>
      </c>
      <c r="F1" s="20" t="inlineStr">
        <is>
          <t>AngNam</t>
        </is>
      </c>
      <c r="G1" s="20" t="inlineStr">
        <is>
          <t>AngDat</t>
        </is>
      </c>
      <c r="H1" s="20" t="inlineStr">
        <is>
          <t>AngZeit</t>
        </is>
      </c>
      <c r="I1" s="20" t="inlineStr">
        <is>
          <t>GezNam</t>
        </is>
      </c>
      <c r="J1" s="20" t="inlineStr">
        <is>
          <t>GezDat</t>
        </is>
      </c>
      <c r="K1" s="20" t="inlineStr">
        <is>
          <t>GezZeit</t>
        </is>
      </c>
      <c r="L1" s="20" t="inlineStr">
        <is>
          <t>EinNam</t>
        </is>
      </c>
      <c r="M1" s="20" t="inlineStr">
        <is>
          <t>EinDat</t>
        </is>
      </c>
      <c r="N1" s="20" t="inlineStr">
        <is>
          <t>EinZeit</t>
        </is>
      </c>
      <c r="O1" s="20" t="inlineStr">
        <is>
          <t>Nr</t>
        </is>
      </c>
      <c r="P1" s="20" t="inlineStr">
        <is>
          <t>Artikel</t>
        </is>
      </c>
      <c r="Q1" s="20" t="inlineStr">
        <is>
          <t>Anzahl</t>
        </is>
      </c>
      <c r="R1" s="20" t="inlineStr">
        <is>
          <t>KG</t>
        </is>
      </c>
      <c r="S1" s="20" t="inlineStr">
        <is>
          <t>MHD</t>
        </is>
      </c>
      <c r="T1" s="20" t="inlineStr">
        <is>
          <t>Regalplatz</t>
        </is>
      </c>
      <c r="U1" s="20" t="inlineStr">
        <is>
          <t>Bemerkung</t>
        </is>
      </c>
      <c r="V1" s="20" t="inlineStr">
        <is>
          <t>Bestehend</t>
        </is>
      </c>
      <c r="W1" s="20" t="inlineStr">
        <is>
          <t>Schluessel</t>
        </is>
      </c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2026-09-14T13:40:18Z</dcterms:created>
  <dcterms:modified xsi:type="dcterms:W3CDTF">2026-09-14T13:40:18Z</dcterms:modified>
</cp:coreProperties>
</file>